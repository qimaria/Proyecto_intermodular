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 de Proyecto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<sst xmlns="http://schemas.openxmlformats.org/spreadsheetml/2006/main" count="95" uniqueCount="71">
  <si>
    <t xml:space="preserve">📋  SEGUIMIENTO DE PROYECTO</t>
  </si>
  <si>
    <t xml:space="preserve">Actualizado: 18/04/2026</t>
  </si>
  <si>
    <t xml:space="preserve">RESPONSABLE</t>
  </si>
  <si>
    <t xml:space="preserve">FASE</t>
  </si>
  <si>
    <t xml:space="preserve">TAREA</t>
  </si>
  <si>
    <t xml:space="preserve">SUBTAREAS</t>
  </si>
  <si>
    <t xml:space="preserve">FECHA DE INICIO</t>
  </si>
  <si>
    <t xml:space="preserve">FECHA DE ENTREGA</t>
  </si>
  <si>
    <t xml:space="preserve">TIEMPO ESTIMADO (h)</t>
  </si>
  <si>
    <t xml:space="preserve">TIEMPO REAL (h)</t>
  </si>
  <si>
    <t xml:space="preserve">TIEMPO DE EJECUCIÓN</t>
  </si>
  <si>
    <t xml:space="preserve">ESTADO</t>
  </si>
  <si>
    <t xml:space="preserve">Ana García</t>
  </si>
  <si>
    <t xml:space="preserve">Fase 1 – Inicio</t>
  </si>
  <si>
    <t xml:space="preserve">Reunión de arranque</t>
  </si>
  <si>
    <t xml:space="preserve">Preparar agenda</t>
  </si>
  <si>
    <t xml:space="preserve">01/05/2025</t>
  </si>
  <si>
    <t xml:space="preserve">02/05/2025</t>
  </si>
  <si>
    <t xml:space="preserve">Completado</t>
  </si>
  <si>
    <t xml:space="preserve">Luis Torres</t>
  </si>
  <si>
    <t xml:space="preserve">Análisis de requisitos</t>
  </si>
  <si>
    <t xml:space="preserve">Entrevistas stakeholders</t>
  </si>
  <si>
    <t xml:space="preserve">03/05/2025</t>
  </si>
  <si>
    <t xml:space="preserve">10/05/2025</t>
  </si>
  <si>
    <t xml:space="preserve">En curso</t>
  </si>
  <si>
    <t xml:space="preserve">Fase 2 – Planificación</t>
  </si>
  <si>
    <t xml:space="preserve">Cronograma del proyecto</t>
  </si>
  <si>
    <t xml:space="preserve">Definir hitos principales</t>
  </si>
  <si>
    <t xml:space="preserve">11/05/2025</t>
  </si>
  <si>
    <t xml:space="preserve">14/05/2025</t>
  </si>
  <si>
    <t xml:space="preserve">Pendiente</t>
  </si>
  <si>
    <t xml:space="preserve">Carlos Ruiz</t>
  </si>
  <si>
    <t xml:space="preserve">Plan de riesgos</t>
  </si>
  <si>
    <t xml:space="preserve">Identificar riesgos</t>
  </si>
  <si>
    <t xml:space="preserve">15/05/2025</t>
  </si>
  <si>
    <t xml:space="preserve">María López</t>
  </si>
  <si>
    <t xml:space="preserve">Fase 3 – Ejecución</t>
  </si>
  <si>
    <t xml:space="preserve">Desarrollo módulo A</t>
  </si>
  <si>
    <t xml:space="preserve">Diseño + codificación</t>
  </si>
  <si>
    <t xml:space="preserve">18/05/2025</t>
  </si>
  <si>
    <t xml:space="preserve">06/06/2025</t>
  </si>
  <si>
    <t xml:space="preserve">Desarrollo módulo B</t>
  </si>
  <si>
    <t xml:space="preserve">Codificación + pruebas</t>
  </si>
  <si>
    <t xml:space="preserve">13/06/2025</t>
  </si>
  <si>
    <t xml:space="preserve">Fase 4 – Pruebas</t>
  </si>
  <si>
    <t xml:space="preserve">Pruebas de integración</t>
  </si>
  <si>
    <t xml:space="preserve">Casos de prueba</t>
  </si>
  <si>
    <t xml:space="preserve">16/06/2025</t>
  </si>
  <si>
    <t xml:space="preserve">27/06/2025</t>
  </si>
  <si>
    <t xml:space="preserve">Pruebas de usuario (UAT)</t>
  </si>
  <si>
    <t xml:space="preserve">Revisión con cliente</t>
  </si>
  <si>
    <t xml:space="preserve">30/06/2025</t>
  </si>
  <si>
    <t xml:space="preserve">04/07/2025</t>
  </si>
  <si>
    <t xml:space="preserve">Fase 5 – Cierre</t>
  </si>
  <si>
    <t xml:space="preserve">Documentación final</t>
  </si>
  <si>
    <t xml:space="preserve">Manual de usuario</t>
  </si>
  <si>
    <t xml:space="preserve">07/07/2025</t>
  </si>
  <si>
    <t xml:space="preserve">11/07/2025</t>
  </si>
  <si>
    <t xml:space="preserve">Entrega y despliegue</t>
  </si>
  <si>
    <t xml:space="preserve">Deploy + capacitación</t>
  </si>
  <si>
    <t xml:space="preserve">14/07/2025</t>
  </si>
  <si>
    <t xml:space="preserve">18/07/2025</t>
  </si>
  <si>
    <t xml:space="preserve">TOTALES</t>
  </si>
  <si>
    <t xml:space="preserve">📊  DASHBOARD – RESUMEN DEL PROYECTO</t>
  </si>
  <si>
    <t xml:space="preserve">Total Tareas</t>
  </si>
  <si>
    <t xml:space="preserve">Total Est. (h)</t>
  </si>
  <si>
    <t xml:space="preserve">Total Real (h)</t>
  </si>
  <si>
    <t xml:space="preserve">Completadas</t>
  </si>
  <si>
    <t xml:space="preserve">Pendientes</t>
  </si>
  <si>
    <t xml:space="preserve">LEYENDA DE ESTADOS</t>
  </si>
  <si>
    <t xml:space="preserve">Bloqueado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</si>
</sst>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&quot; h&quot;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A7A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E3A5F"/>
      <name val="Arial"/>
      <family val="0"/>
      <charset val="1"/>
    </font>
    <font>
      <b val="true"/>
      <sz val="9"/>
      <color rgb="FF383D4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383D41"/>
      </patternFill>
    </fill>
    <fill>
      <patternFill patternType="solid">
        <fgColor rgb="FFA8DADC"/>
        <bgColor rgb="FFB0C4DE"/>
      </patternFill>
    </fill>
    <fill>
      <patternFill patternType="solid">
        <fgColor rgb="FF2E86AB"/>
        <bgColor rgb="FF5A7A99"/>
      </patternFill>
    </fill>
    <fill>
      <patternFill patternType="solid">
        <fgColor rgb="FFFFFFFF"/>
        <bgColor rgb="FFF0F4F8"/>
      </patternFill>
    </fill>
    <fill>
      <patternFill patternType="solid">
        <fgColor rgb="FFD4EDDA"/>
        <bgColor rgb="FFE2E3E5"/>
      </patternFill>
    </fill>
    <fill>
      <patternFill patternType="solid">
        <fgColor rgb="FFF0F4F8"/>
        <bgColor rgb="FFFFFFFF"/>
      </patternFill>
    </fill>
    <fill>
      <patternFill patternType="solid">
        <fgColor rgb="FFFFF3CD"/>
        <bgColor rgb="FFF0F4F8"/>
      </patternFill>
    </fill>
    <fill>
      <patternFill patternType="solid">
        <fgColor rgb="FFF8D7DA"/>
        <bgColor rgb="FFE2E3E5"/>
      </patternFill>
    </fill>
    <fill>
      <patternFill patternType="solid">
        <fgColor rgb="FF155724"/>
        <bgColor rgb="FF383D41"/>
      </patternFill>
    </fill>
    <fill>
      <patternFill patternType="solid">
        <fgColor rgb="FF856404"/>
        <bgColor rgb="FF993300"/>
      </patternFill>
    </fill>
    <fill>
      <patternFill patternType="solid">
        <fgColor rgb="FF721C24"/>
        <bgColor rgb="FF800000"/>
      </patternFill>
    </fill>
    <fill>
      <patternFill patternType="solid">
        <fgColor rgb="FFE2E3E5"/>
        <bgColor rgb="FFD4ED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B0C4DE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E2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A8DADC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7A99"/>
      <rgbColor rgb="FF969696"/>
      <rgbColor rgb="FF1E3A5F"/>
      <rgbColor rgb="FF2E86AB"/>
      <rgbColor rgb="FF155724"/>
      <rgbColor rgb="FF444444"/>
      <rgbColor rgb="FF993300"/>
      <rgbColor rgb="FF993366"/>
      <rgbColor rgb="FF333399"/>
      <rgbColor rgb="FF383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1.75" hidden="false" customHeight="tru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17</v>
      </c>
      <c r="G4" s="6" t="n">
        <v>2</v>
      </c>
      <c r="H4" s="4"/>
      <c r="I4" s="7" t="str">
        <f aca="false">IF(H4&lt;&gt;"",H4-G4,"")</f>
        <v/>
      </c>
      <c r="J4" s="8" t="s">
        <v>18</v>
      </c>
    </row>
    <row r="5" customFormat="false" ht="21.75" hidden="false" customHeight="true" outlineLevel="0" collapsed="false">
      <c r="A5" s="9" t="s">
        <v>19</v>
      </c>
      <c r="B5" s="9" t="s">
        <v>13</v>
      </c>
      <c r="C5" s="9" t="s">
        <v>20</v>
      </c>
      <c r="D5" s="9" t="s">
        <v>21</v>
      </c>
      <c r="E5" s="10" t="s">
        <v>22</v>
      </c>
      <c r="F5" s="10" t="s">
        <v>23</v>
      </c>
      <c r="G5" s="11" t="n">
        <v>16</v>
      </c>
      <c r="H5" s="9"/>
      <c r="I5" s="7" t="str">
        <f aca="false">IF(H5&lt;&gt;"",H5-G5,"")</f>
        <v/>
      </c>
      <c r="J5" s="12" t="s">
        <v>24</v>
      </c>
    </row>
    <row r="6" customFormat="false" ht="21.75" hidden="false" customHeight="true" outlineLevel="0" collapsed="false">
      <c r="A6" s="4" t="s">
        <v>12</v>
      </c>
      <c r="B6" s="4" t="s">
        <v>25</v>
      </c>
      <c r="C6" s="4" t="s">
        <v>26</v>
      </c>
      <c r="D6" s="4" t="s">
        <v>27</v>
      </c>
      <c r="E6" s="5" t="s">
        <v>28</v>
      </c>
      <c r="F6" s="5" t="s">
        <v>29</v>
      </c>
      <c r="G6" s="6" t="n">
        <v>8</v>
      </c>
      <c r="H6" s="4"/>
      <c r="I6" s="7" t="str">
        <f aca="false">IF(H6&lt;&gt;"",H6-G6,"")</f>
        <v/>
      </c>
      <c r="J6" s="13" t="s">
        <v>30</v>
      </c>
    </row>
    <row r="7" customFormat="false" ht="21.75" hidden="false" customHeight="true" outlineLevel="0" collapsed="false">
      <c r="A7" s="9" t="s">
        <v>31</v>
      </c>
      <c r="B7" s="9" t="s">
        <v>25</v>
      </c>
      <c r="C7" s="9" t="s">
        <v>32</v>
      </c>
      <c r="D7" s="9" t="s">
        <v>33</v>
      </c>
      <c r="E7" s="10" t="s">
        <v>28</v>
      </c>
      <c r="F7" s="10" t="s">
        <v>34</v>
      </c>
      <c r="G7" s="11" t="n">
        <v>6</v>
      </c>
      <c r="H7" s="9"/>
      <c r="I7" s="7" t="str">
        <f aca="false">IF(H7&lt;&gt;"",H7-G7,"")</f>
        <v/>
      </c>
      <c r="J7" s="13" t="s">
        <v>30</v>
      </c>
    </row>
    <row r="8" customFormat="false" ht="21.75" hidden="false" customHeight="tru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5" t="s">
        <v>39</v>
      </c>
      <c r="F8" s="5" t="s">
        <v>40</v>
      </c>
      <c r="G8" s="6" t="n">
        <v>40</v>
      </c>
      <c r="H8" s="4"/>
      <c r="I8" s="7" t="str">
        <f aca="false">IF(H8&lt;&gt;"",H8-G8,"")</f>
        <v/>
      </c>
      <c r="J8" s="13" t="s">
        <v>30</v>
      </c>
    </row>
    <row r="9" customFormat="false" ht="21.75" hidden="false" customHeight="true" outlineLevel="0" collapsed="false">
      <c r="A9" s="9" t="s">
        <v>19</v>
      </c>
      <c r="B9" s="9" t="s">
        <v>36</v>
      </c>
      <c r="C9" s="9" t="s">
        <v>41</v>
      </c>
      <c r="D9" s="9" t="s">
        <v>42</v>
      </c>
      <c r="E9" s="10" t="s">
        <v>39</v>
      </c>
      <c r="F9" s="10" t="s">
        <v>43</v>
      </c>
      <c r="G9" s="11" t="n">
        <v>48</v>
      </c>
      <c r="H9" s="9"/>
      <c r="I9" s="7" t="str">
        <f aca="false">IF(H9&lt;&gt;"",H9-G9,"")</f>
        <v/>
      </c>
      <c r="J9" s="13" t="s">
        <v>30</v>
      </c>
    </row>
    <row r="10" customFormat="false" ht="21.75" hidden="false" customHeight="true" outlineLevel="0" collapsed="false">
      <c r="A10" s="4" t="s">
        <v>31</v>
      </c>
      <c r="B10" s="4" t="s">
        <v>44</v>
      </c>
      <c r="C10" s="4" t="s">
        <v>45</v>
      </c>
      <c r="D10" s="4" t="s">
        <v>46</v>
      </c>
      <c r="E10" s="5" t="s">
        <v>47</v>
      </c>
      <c r="F10" s="5" t="s">
        <v>48</v>
      </c>
      <c r="G10" s="6" t="n">
        <v>24</v>
      </c>
      <c r="H10" s="4"/>
      <c r="I10" s="7" t="str">
        <f aca="false">IF(H10&lt;&gt;"",H10-G10,"")</f>
        <v/>
      </c>
      <c r="J10" s="13" t="s">
        <v>30</v>
      </c>
    </row>
    <row r="11" customFormat="false" ht="21.75" hidden="false" customHeight="true" outlineLevel="0" collapsed="false">
      <c r="A11" s="9" t="s">
        <v>35</v>
      </c>
      <c r="B11" s="9" t="s">
        <v>44</v>
      </c>
      <c r="C11" s="9" t="s">
        <v>49</v>
      </c>
      <c r="D11" s="9" t="s">
        <v>50</v>
      </c>
      <c r="E11" s="10" t="s">
        <v>51</v>
      </c>
      <c r="F11" s="10" t="s">
        <v>52</v>
      </c>
      <c r="G11" s="11" t="n">
        <v>16</v>
      </c>
      <c r="H11" s="9"/>
      <c r="I11" s="7" t="str">
        <f aca="false">IF(H11&lt;&gt;"",H11-G11,"")</f>
        <v/>
      </c>
      <c r="J11" s="13" t="s">
        <v>30</v>
      </c>
    </row>
    <row r="12" customFormat="false" ht="21.75" hidden="false" customHeight="true" outlineLevel="0" collapsed="false">
      <c r="A12" s="4" t="s">
        <v>12</v>
      </c>
      <c r="B12" s="4" t="s">
        <v>53</v>
      </c>
      <c r="C12" s="4" t="s">
        <v>54</v>
      </c>
      <c r="D12" s="4" t="s">
        <v>55</v>
      </c>
      <c r="E12" s="5" t="s">
        <v>56</v>
      </c>
      <c r="F12" s="5" t="s">
        <v>57</v>
      </c>
      <c r="G12" s="6" t="n">
        <v>12</v>
      </c>
      <c r="H12" s="4"/>
      <c r="I12" s="7" t="str">
        <f aca="false">IF(H12&lt;&gt;"",H12-G12,"")</f>
        <v/>
      </c>
      <c r="J12" s="13" t="s">
        <v>30</v>
      </c>
    </row>
    <row r="13" customFormat="false" ht="21.75" hidden="false" customHeight="true" outlineLevel="0" collapsed="false">
      <c r="A13" s="9" t="s">
        <v>31</v>
      </c>
      <c r="B13" s="9" t="s">
        <v>53</v>
      </c>
      <c r="C13" s="9" t="s">
        <v>58</v>
      </c>
      <c r="D13" s="9" t="s">
        <v>59</v>
      </c>
      <c r="E13" s="10" t="s">
        <v>60</v>
      </c>
      <c r="F13" s="10" t="s">
        <v>61</v>
      </c>
      <c r="G13" s="11" t="n">
        <v>8</v>
      </c>
      <c r="H13" s="9"/>
      <c r="I13" s="7" t="str">
        <f aca="false">IF(H13&lt;&gt;"",H13-G13,"")</f>
        <v/>
      </c>
      <c r="J13" s="13" t="s">
        <v>30</v>
      </c>
    </row>
    <row r="14" customFormat="false" ht="24" hidden="false" customHeight="true" outlineLevel="0" collapsed="false">
      <c r="A14" s="14" t="s">
        <v>62</v>
      </c>
      <c r="B14" s="15"/>
      <c r="C14" s="15"/>
      <c r="D14" s="15"/>
      <c r="E14" s="15"/>
      <c r="F14" s="15"/>
      <c r="G14" s="16" t="n">
        <f aca="false">SUM(G4:G13)</f>
        <v>180</v>
      </c>
      <c r="H14" s="16" t="n">
        <f aca="false">SUM(H4:H13)</f>
        <v>0</v>
      </c>
      <c r="I14" s="16" t="n">
        <f aca="false">SUM(I4:I13)</f>
        <v>0</v>
      </c>
      <c r="J14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3.75" hidden="false" customHeight="true" outlineLevel="0" collapsed="false">
      <c r="A1" s="18" t="s">
        <v>63</v>
      </c>
      <c r="B1" s="18"/>
      <c r="C1" s="18"/>
      <c r="D1" s="18"/>
      <c r="E1" s="18"/>
      <c r="F1" s="18"/>
    </row>
    <row r="3" customFormat="false" ht="36" hidden="false" customHeight="true" outlineLevel="0" collapsed="false">
      <c r="A3" s="19" t="s">
        <v>64</v>
      </c>
      <c r="B3" s="20" t="s">
        <v>65</v>
      </c>
      <c r="C3" s="20" t="s">
        <v>66</v>
      </c>
      <c r="D3" s="21" t="s">
        <v>67</v>
      </c>
      <c r="E3" s="22" t="s">
        <v>24</v>
      </c>
      <c r="F3" s="23" t="s">
        <v>68</v>
      </c>
    </row>
    <row r="4" customFormat="false" ht="27.75" hidden="false" customHeight="true" outlineLevel="0" collapsed="false">
      <c r="A4" s="24" t="n">
        <f aca="false">COUNTA('Seguimiento de Proyecto'!C4:C13)</f>
        <v>10</v>
      </c>
      <c r="B4" s="25" t="n">
        <f aca="false">'Seguimiento de Proyecto'!G14</f>
        <v>180</v>
      </c>
      <c r="C4" s="25" t="n">
        <f aca="false">'Seguimiento de Proyecto'!H14</f>
        <v>0</v>
      </c>
      <c r="D4" s="24" t="n">
        <f aca="false">COUNTIF('Seguimiento de Proyecto'!J4:J13,"Completado")</f>
        <v>1</v>
      </c>
      <c r="E4" s="24" t="n">
        <f aca="false">COUNTIF('Seguimiento de Proyecto'!J4:J13,"En curso")</f>
        <v>1</v>
      </c>
      <c r="F4" s="24" t="n">
        <f aca="false">COUNTIF('Seguimiento de Proyecto'!J4:J13,"Pendiente")</f>
        <v>8</v>
      </c>
    </row>
    <row r="7" customFormat="false" ht="19.5" hidden="false" customHeight="true" outlineLevel="0" collapsed="false">
      <c r="A7" s="26" t="s">
        <v>69</v>
      </c>
      <c r="B7" s="26"/>
      <c r="C7" s="26"/>
      <c r="D7" s="26"/>
      <c r="E7" s="26"/>
      <c r="F7" s="26"/>
    </row>
    <row r="8" customFormat="false" ht="21.75" hidden="false" customHeight="true" outlineLevel="0" collapsed="false">
      <c r="A8" s="27" t="s">
        <v>18</v>
      </c>
      <c r="B8" s="28" t="s">
        <v>24</v>
      </c>
      <c r="C8" s="29" t="s">
        <v>30</v>
      </c>
      <c r="D8" s="30" t="s">
        <v>70</v>
      </c>
    </row>
  </sheetData>
  <mergeCells count="2">
    <mergeCell ref="A1:F1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2026-04-18T10:41:40Z</dcterms:created>
  <dc:creator>openpyxl</dc:creator>
  <dc:description/>
  <dc:language>en-US</dc:language>
  <cp:lastModifiedBy/>
  <dcterms:modified xsi:type="dcterms:W3CDTF">2026-04-18T10:41:40Z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